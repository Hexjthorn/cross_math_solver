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1620" windowWidth="11730" windowHeight="2760"/>
  </bookViews>
  <sheets>
    <sheet name="README" sheetId="5" r:id="rId1"/>
    <sheet name="Random_Generator" sheetId="1" r:id="rId2"/>
    <sheet name="Specified_Solver" sheetId="2" r:id="rId3"/>
    <sheet name="Maths_for_Solver" sheetId="4" state="hidden" r:id="rId4"/>
  </sheets>
  <definedNames>
    <definedName name="solver_adj" localSheetId="3" hidden="1">Specified_Solver!$R$3:$R$11</definedName>
    <definedName name="solver_adj" localSheetId="1" hidden="1">Random_Generator!#REF!</definedName>
    <definedName name="solver_adj" localSheetId="2" hidden="1">Specified_Solver!$R$3:$R$11</definedName>
    <definedName name="solver_cvg" localSheetId="3" hidden="1">0.0001</definedName>
    <definedName name="solver_cvg" localSheetId="1" hidden="1">0.0001</definedName>
    <definedName name="solver_cvg" localSheetId="2" hidden="1">0.0001</definedName>
    <definedName name="solver_drv" localSheetId="3" hidden="1">1</definedName>
    <definedName name="solver_drv" localSheetId="1" hidden="1">1</definedName>
    <definedName name="solver_drv" localSheetId="2" hidden="1">1</definedName>
    <definedName name="solver_eng" localSheetId="3" hidden="1">1</definedName>
    <definedName name="solver_eng" localSheetId="1" hidden="1">1</definedName>
    <definedName name="solver_eng" localSheetId="2" hidden="1">1</definedName>
    <definedName name="solver_est" localSheetId="3" hidden="1">1</definedName>
    <definedName name="solver_est" localSheetId="1" hidden="1">1</definedName>
    <definedName name="solver_est" localSheetId="2" hidden="1">1</definedName>
    <definedName name="solver_itr" localSheetId="3" hidden="1">2147483647</definedName>
    <definedName name="solver_itr" localSheetId="1" hidden="1">2147483647</definedName>
    <definedName name="solver_itr" localSheetId="2" hidden="1">2147483647</definedName>
    <definedName name="solver_lhs1" localSheetId="3" hidden="1">Specified_Solver!$R$3:$R$11</definedName>
    <definedName name="solver_lhs1" localSheetId="1" hidden="1">Random_Generator!#REF!</definedName>
    <definedName name="solver_lhs1" localSheetId="2" hidden="1">Specified_Solver!$R$3:$R$11</definedName>
    <definedName name="solver_lhs10" localSheetId="3" hidden="1">Maths_for_Solver!#REF!</definedName>
    <definedName name="solver_lhs10" localSheetId="2" hidden="1">Specified_Solver!$R$3:$R$11</definedName>
    <definedName name="solver_lhs11" localSheetId="3" hidden="1">Maths_for_Solver!#REF!</definedName>
    <definedName name="solver_lhs11" localSheetId="2" hidden="1">Specified_Solver!$R$3:$R$11</definedName>
    <definedName name="solver_lhs12" localSheetId="3" hidden="1">Maths_for_Solver!#REF!</definedName>
    <definedName name="solver_lhs12" localSheetId="2" hidden="1">Specified_Solver!$T$3:$T$8</definedName>
    <definedName name="solver_lhs13" localSheetId="3" hidden="1">Maths_for_Solver!#REF!</definedName>
    <definedName name="solver_lhs13" localSheetId="2" hidden="1">Specified_Solver!$R$3:$R$11</definedName>
    <definedName name="solver_lhs14" localSheetId="3" hidden="1">Maths_for_Solver!#REF!</definedName>
    <definedName name="solver_lhs14" localSheetId="2" hidden="1">Specified_Solver!$R$3:$R$11</definedName>
    <definedName name="solver_lhs15" localSheetId="3" hidden="1">Maths_for_Solver!#REF!</definedName>
    <definedName name="solver_lhs15" localSheetId="2" hidden="1">Specified_Solver!$T$3:$T$8</definedName>
    <definedName name="solver_lhs16" localSheetId="3" hidden="1">Maths_for_Solver!#REF!</definedName>
    <definedName name="solver_lhs16" localSheetId="2" hidden="1">Specified_Solver!$R$3:$R$11</definedName>
    <definedName name="solver_lhs17" localSheetId="3" hidden="1">Maths_for_Solver!#REF!</definedName>
    <definedName name="solver_lhs17" localSheetId="2" hidden="1">Specified_Solver!$R$3:$R$11</definedName>
    <definedName name="solver_lhs18" localSheetId="3" hidden="1">Maths_for_Solver!#REF!</definedName>
    <definedName name="solver_lhs18" localSheetId="2" hidden="1">Specified_Solver!$T$3:$T$8</definedName>
    <definedName name="solver_lhs19" localSheetId="3" hidden="1">Maths_for_Solver!#REF!</definedName>
    <definedName name="solver_lhs19" localSheetId="2" hidden="1">Specified_Solver!$R$3:$R$11</definedName>
    <definedName name="solver_lhs2" localSheetId="3" hidden="1">Specified_Solver!$T$3:$T$8</definedName>
    <definedName name="solver_lhs2" localSheetId="1" hidden="1">Random_Generator!#REF!</definedName>
    <definedName name="solver_lhs2" localSheetId="2" hidden="1">Specified_Solver!$T$3:$T$8</definedName>
    <definedName name="solver_lhs20" localSheetId="3" hidden="1">Maths_for_Solver!#REF!</definedName>
    <definedName name="solver_lhs20" localSheetId="2" hidden="1">Specified_Solver!$R$3:$R$11</definedName>
    <definedName name="solver_lhs21" localSheetId="3" hidden="1">Maths_for_Solver!#REF!</definedName>
    <definedName name="solver_lhs21" localSheetId="2" hidden="1">Specified_Solver!$T$3:$T$8</definedName>
    <definedName name="solver_lhs22" localSheetId="3" hidden="1">Maths_for_Solver!#REF!</definedName>
    <definedName name="solver_lhs22" localSheetId="2" hidden="1">Specified_Solver!$R$3:$R$11</definedName>
    <definedName name="solver_lhs23" localSheetId="3" hidden="1">Maths_for_Solver!#REF!</definedName>
    <definedName name="solver_lhs23" localSheetId="2" hidden="1">Specified_Solver!$R$3:$R$11</definedName>
    <definedName name="solver_lhs24" localSheetId="3" hidden="1">Maths_for_Solver!#REF!</definedName>
    <definedName name="solver_lhs24" localSheetId="2" hidden="1">Specified_Solver!$T$3:$T$8</definedName>
    <definedName name="solver_lhs3" localSheetId="3" hidden="1">Specified_Solver!$R$3:$R$11</definedName>
    <definedName name="solver_lhs3" localSheetId="1" hidden="1">Random_Generator!#REF!</definedName>
    <definedName name="solver_lhs3" localSheetId="2" hidden="1">Specified_Solver!$R$3:$R$11</definedName>
    <definedName name="solver_lhs4" localSheetId="3" hidden="1">Maths_for_Solver!#REF!</definedName>
    <definedName name="solver_lhs4" localSheetId="2" hidden="1">Specified_Solver!$R$3:$R$11</definedName>
    <definedName name="solver_lhs5" localSheetId="3" hidden="1">Maths_for_Solver!#REF!</definedName>
    <definedName name="solver_lhs5" localSheetId="2" hidden="1">Specified_Solver!$R$3:$R$11</definedName>
    <definedName name="solver_lhs6" localSheetId="3" hidden="1">Maths_for_Solver!#REF!</definedName>
    <definedName name="solver_lhs6" localSheetId="2" hidden="1">Specified_Solver!$T$3:$T$8</definedName>
    <definedName name="solver_lhs7" localSheetId="3" hidden="1">Maths_for_Solver!#REF!</definedName>
    <definedName name="solver_lhs7" localSheetId="2" hidden="1">Specified_Solver!$R$3:$R$11</definedName>
    <definedName name="solver_lhs8" localSheetId="3" hidden="1">Maths_for_Solver!#REF!</definedName>
    <definedName name="solver_lhs8" localSheetId="2" hidden="1">Specified_Solver!$R$3:$R$11</definedName>
    <definedName name="solver_lhs9" localSheetId="3" hidden="1">Maths_for_Solver!#REF!</definedName>
    <definedName name="solver_lhs9" localSheetId="2" hidden="1">Specified_Solver!$T$3:$T$8</definedName>
    <definedName name="solver_mip" localSheetId="3" hidden="1">2147483647</definedName>
    <definedName name="solver_mip" localSheetId="1" hidden="1">2147483647</definedName>
    <definedName name="solver_mip" localSheetId="2" hidden="1">2147483647</definedName>
    <definedName name="solver_mni" localSheetId="3" hidden="1">30</definedName>
    <definedName name="solver_mni" localSheetId="1" hidden="1">30</definedName>
    <definedName name="solver_mni" localSheetId="2" hidden="1">30</definedName>
    <definedName name="solver_mrt" localSheetId="3" hidden="1">0.075</definedName>
    <definedName name="solver_mrt" localSheetId="1" hidden="1">0.075</definedName>
    <definedName name="solver_mrt" localSheetId="2" hidden="1">0.075</definedName>
    <definedName name="solver_msl" localSheetId="3" hidden="1">2</definedName>
    <definedName name="solver_msl" localSheetId="1" hidden="1">2</definedName>
    <definedName name="solver_msl" localSheetId="2" hidden="1">2</definedName>
    <definedName name="solver_neg" localSheetId="3" hidden="1">1</definedName>
    <definedName name="solver_neg" localSheetId="1" hidden="1">1</definedName>
    <definedName name="solver_neg" localSheetId="2" hidden="1">1</definedName>
    <definedName name="solver_nod" localSheetId="3" hidden="1">2147483647</definedName>
    <definedName name="solver_nod" localSheetId="1" hidden="1">2147483647</definedName>
    <definedName name="solver_nod" localSheetId="2" hidden="1">2147483647</definedName>
    <definedName name="solver_num" localSheetId="3" hidden="1">3</definedName>
    <definedName name="solver_num" localSheetId="1" hidden="1">3</definedName>
    <definedName name="solver_num" localSheetId="2" hidden="1">3</definedName>
    <definedName name="solver_nwt" localSheetId="3" hidden="1">1</definedName>
    <definedName name="solver_nwt" localSheetId="1" hidden="1">1</definedName>
    <definedName name="solver_nwt" localSheetId="2" hidden="1">1</definedName>
    <definedName name="solver_opt" localSheetId="3" hidden="1">Specified_Solver!$R$12</definedName>
    <definedName name="solver_opt" localSheetId="1" hidden="1">Random_Generator!#REF!</definedName>
    <definedName name="solver_opt" localSheetId="2" hidden="1">Specified_Solver!$R$12</definedName>
    <definedName name="solver_pre" localSheetId="3" hidden="1">0.000001</definedName>
    <definedName name="solver_pre" localSheetId="1" hidden="1">0.000001</definedName>
    <definedName name="solver_pre" localSheetId="2" hidden="1">0.000001</definedName>
    <definedName name="solver_rbv" localSheetId="3" hidden="1">1</definedName>
    <definedName name="solver_rbv" localSheetId="1" hidden="1">1</definedName>
    <definedName name="solver_rbv" localSheetId="2" hidden="1">1</definedName>
    <definedName name="solver_rel1" localSheetId="3" hidden="1">3</definedName>
    <definedName name="solver_rel1" localSheetId="1" hidden="1">2</definedName>
    <definedName name="solver_rel1" localSheetId="2" hidden="1">3</definedName>
    <definedName name="solver_rel10" localSheetId="3" hidden="1">3</definedName>
    <definedName name="solver_rel10" localSheetId="2" hidden="1">3</definedName>
    <definedName name="solver_rel11" localSheetId="3" hidden="1">6</definedName>
    <definedName name="solver_rel11" localSheetId="2" hidden="1">6</definedName>
    <definedName name="solver_rel12" localSheetId="3" hidden="1">2</definedName>
    <definedName name="solver_rel12" localSheetId="2" hidden="1">2</definedName>
    <definedName name="solver_rel13" localSheetId="3" hidden="1">3</definedName>
    <definedName name="solver_rel13" localSheetId="2" hidden="1">3</definedName>
    <definedName name="solver_rel14" localSheetId="3" hidden="1">6</definedName>
    <definedName name="solver_rel14" localSheetId="2" hidden="1">6</definedName>
    <definedName name="solver_rel15" localSheetId="3" hidden="1">2</definedName>
    <definedName name="solver_rel15" localSheetId="2" hidden="1">2</definedName>
    <definedName name="solver_rel16" localSheetId="3" hidden="1">3</definedName>
    <definedName name="solver_rel16" localSheetId="2" hidden="1">3</definedName>
    <definedName name="solver_rel17" localSheetId="3" hidden="1">6</definedName>
    <definedName name="solver_rel17" localSheetId="2" hidden="1">6</definedName>
    <definedName name="solver_rel18" localSheetId="3" hidden="1">2</definedName>
    <definedName name="solver_rel18" localSheetId="2" hidden="1">2</definedName>
    <definedName name="solver_rel19" localSheetId="3" hidden="1">3</definedName>
    <definedName name="solver_rel19" localSheetId="2" hidden="1">3</definedName>
    <definedName name="solver_rel2" localSheetId="3" hidden="1">2</definedName>
    <definedName name="solver_rel2" localSheetId="1" hidden="1">6</definedName>
    <definedName name="solver_rel2" localSheetId="2" hidden="1">2</definedName>
    <definedName name="solver_rel20" localSheetId="3" hidden="1">6</definedName>
    <definedName name="solver_rel20" localSheetId="2" hidden="1">6</definedName>
    <definedName name="solver_rel21" localSheetId="3" hidden="1">2</definedName>
    <definedName name="solver_rel21" localSheetId="2" hidden="1">2</definedName>
    <definedName name="solver_rel22" localSheetId="3" hidden="1">3</definedName>
    <definedName name="solver_rel22" localSheetId="2" hidden="1">3</definedName>
    <definedName name="solver_rel23" localSheetId="3" hidden="1">6</definedName>
    <definedName name="solver_rel23" localSheetId="2" hidden="1">6</definedName>
    <definedName name="solver_rel24" localSheetId="3" hidden="1">2</definedName>
    <definedName name="solver_rel24" localSheetId="2" hidden="1">2</definedName>
    <definedName name="solver_rel3" localSheetId="3" hidden="1">6</definedName>
    <definedName name="solver_rel3" localSheetId="1" hidden="1">3</definedName>
    <definedName name="solver_rel3" localSheetId="2" hidden="1">6</definedName>
    <definedName name="solver_rel4" localSheetId="3" hidden="1">3</definedName>
    <definedName name="solver_rel4" localSheetId="2" hidden="1">3</definedName>
    <definedName name="solver_rel5" localSheetId="3" hidden="1">6</definedName>
    <definedName name="solver_rel5" localSheetId="2" hidden="1">6</definedName>
    <definedName name="solver_rel6" localSheetId="3" hidden="1">2</definedName>
    <definedName name="solver_rel6" localSheetId="2" hidden="1">2</definedName>
    <definedName name="solver_rel7" localSheetId="3" hidden="1">3</definedName>
    <definedName name="solver_rel7" localSheetId="2" hidden="1">3</definedName>
    <definedName name="solver_rel8" localSheetId="3" hidden="1">6</definedName>
    <definedName name="solver_rel8" localSheetId="2" hidden="1">6</definedName>
    <definedName name="solver_rel9" localSheetId="3" hidden="1">2</definedName>
    <definedName name="solver_rel9" localSheetId="2" hidden="1">2</definedName>
    <definedName name="solver_rhs1" localSheetId="3" hidden="1">1</definedName>
    <definedName name="solver_rhs1" localSheetId="1" hidden="1">Random_Generator!#REF!</definedName>
    <definedName name="solver_rhs1" localSheetId="2" hidden="1">1</definedName>
    <definedName name="solver_rhs10" localSheetId="3" hidden="1">1</definedName>
    <definedName name="solver_rhs10" localSheetId="2" hidden="1">1</definedName>
    <definedName name="solver_rhs11" localSheetId="3" hidden="1">AllDifferent</definedName>
    <definedName name="solver_rhs11" localSheetId="2" hidden="1">AllDifferent</definedName>
    <definedName name="solver_rhs12" localSheetId="3" hidden="1">Maths_for_Solver!#REF!</definedName>
    <definedName name="solver_rhs12" localSheetId="2" hidden="1">Specified_Solver!$U$3:$U$8</definedName>
    <definedName name="solver_rhs13" localSheetId="3" hidden="1">1</definedName>
    <definedName name="solver_rhs13" localSheetId="2" hidden="1">1</definedName>
    <definedName name="solver_rhs14" localSheetId="3" hidden="1">AllDifferent</definedName>
    <definedName name="solver_rhs14" localSheetId="2" hidden="1">AllDifferent</definedName>
    <definedName name="solver_rhs15" localSheetId="3" hidden="1">Maths_for_Solver!#REF!</definedName>
    <definedName name="solver_rhs15" localSheetId="2" hidden="1">Specified_Solver!$U$3:$U$8</definedName>
    <definedName name="solver_rhs16" localSheetId="3" hidden="1">1</definedName>
    <definedName name="solver_rhs16" localSheetId="2" hidden="1">1</definedName>
    <definedName name="solver_rhs17" localSheetId="3" hidden="1">AllDifferent</definedName>
    <definedName name="solver_rhs17" localSheetId="2" hidden="1">AllDifferent</definedName>
    <definedName name="solver_rhs18" localSheetId="3" hidden="1">Maths_for_Solver!#REF!</definedName>
    <definedName name="solver_rhs18" localSheetId="2" hidden="1">Specified_Solver!$U$3:$U$8</definedName>
    <definedName name="solver_rhs19" localSheetId="3" hidden="1">1</definedName>
    <definedName name="solver_rhs19" localSheetId="2" hidden="1">1</definedName>
    <definedName name="solver_rhs2" localSheetId="3" hidden="1">Specified_Solver!$U$3:$U$8</definedName>
    <definedName name="solver_rhs2" localSheetId="1" hidden="1">AllDifferent</definedName>
    <definedName name="solver_rhs2" localSheetId="2" hidden="1">Specified_Solver!$U$3:$U$8</definedName>
    <definedName name="solver_rhs20" localSheetId="3" hidden="1">AllDifferent</definedName>
    <definedName name="solver_rhs20" localSheetId="2" hidden="1">AllDifferent</definedName>
    <definedName name="solver_rhs21" localSheetId="3" hidden="1">Maths_for_Solver!#REF!</definedName>
    <definedName name="solver_rhs21" localSheetId="2" hidden="1">Specified_Solver!$U$3:$U$8</definedName>
    <definedName name="solver_rhs22" localSheetId="3" hidden="1">1</definedName>
    <definedName name="solver_rhs22" localSheetId="2" hidden="1">1</definedName>
    <definedName name="solver_rhs23" localSheetId="3" hidden="1">AllDifferent</definedName>
    <definedName name="solver_rhs23" localSheetId="2" hidden="1">AllDifferent</definedName>
    <definedName name="solver_rhs24" localSheetId="3" hidden="1">Maths_for_Solver!#REF!</definedName>
    <definedName name="solver_rhs24" localSheetId="2" hidden="1">Specified_Solver!$U$3:$U$8</definedName>
    <definedName name="solver_rhs3" localSheetId="3" hidden="1">AllDifferent</definedName>
    <definedName name="solver_rhs3" localSheetId="1" hidden="1">1</definedName>
    <definedName name="solver_rhs3" localSheetId="2" hidden="1">AllDifferent</definedName>
    <definedName name="solver_rhs4" localSheetId="3" hidden="1">1</definedName>
    <definedName name="solver_rhs4" localSheetId="2" hidden="1">1</definedName>
    <definedName name="solver_rhs5" localSheetId="3" hidden="1">AllDifferent</definedName>
    <definedName name="solver_rhs5" localSheetId="2" hidden="1">AllDifferent</definedName>
    <definedName name="solver_rhs6" localSheetId="3" hidden="1">Maths_for_Solver!#REF!</definedName>
    <definedName name="solver_rhs6" localSheetId="2" hidden="1">Specified_Solver!$U$3:$U$8</definedName>
    <definedName name="solver_rhs7" localSheetId="3" hidden="1">1</definedName>
    <definedName name="solver_rhs7" localSheetId="2" hidden="1">1</definedName>
    <definedName name="solver_rhs8" localSheetId="3" hidden="1">AllDifferent</definedName>
    <definedName name="solver_rhs8" localSheetId="2" hidden="1">AllDifferent</definedName>
    <definedName name="solver_rhs9" localSheetId="3" hidden="1">Maths_for_Solver!#REF!</definedName>
    <definedName name="solver_rhs9" localSheetId="2" hidden="1">Specified_Solver!$U$3:$U$8</definedName>
    <definedName name="solver_rlx" localSheetId="3" hidden="1">2</definedName>
    <definedName name="solver_rlx" localSheetId="1" hidden="1">2</definedName>
    <definedName name="solver_rlx" localSheetId="2" hidden="1">2</definedName>
    <definedName name="solver_rsd" localSheetId="3" hidden="1">0</definedName>
    <definedName name="solver_rsd" localSheetId="1" hidden="1">0</definedName>
    <definedName name="solver_rsd" localSheetId="2" hidden="1">0</definedName>
    <definedName name="solver_scl" localSheetId="3" hidden="1">1</definedName>
    <definedName name="solver_scl" localSheetId="1" hidden="1">1</definedName>
    <definedName name="solver_scl" localSheetId="2" hidden="1">1</definedName>
    <definedName name="solver_sho" localSheetId="3" hidden="1">2</definedName>
    <definedName name="solver_sho" localSheetId="1" hidden="1">2</definedName>
    <definedName name="solver_sho" localSheetId="2" hidden="1">2</definedName>
    <definedName name="solver_ssz" localSheetId="3" hidden="1">1000</definedName>
    <definedName name="solver_ssz" localSheetId="1" hidden="1">100</definedName>
    <definedName name="solver_ssz" localSheetId="2" hidden="1">1000</definedName>
    <definedName name="solver_tim" localSheetId="3" hidden="1">2147483647</definedName>
    <definedName name="solver_tim" localSheetId="1" hidden="1">2147483647</definedName>
    <definedName name="solver_tim" localSheetId="2" hidden="1">2147483647</definedName>
    <definedName name="solver_tol" localSheetId="3" hidden="1">0.01</definedName>
    <definedName name="solver_tol" localSheetId="1" hidden="1">0.01</definedName>
    <definedName name="solver_tol" localSheetId="2" hidden="1">0.01</definedName>
    <definedName name="solver_typ" localSheetId="3" hidden="1">1</definedName>
    <definedName name="solver_typ" localSheetId="1" hidden="1">1</definedName>
    <definedName name="solver_typ" localSheetId="2" hidden="1">3</definedName>
    <definedName name="solver_val" localSheetId="3" hidden="1">0</definedName>
    <definedName name="solver_val" localSheetId="1" hidden="1">0</definedName>
    <definedName name="solver_val" localSheetId="2" hidden="1">45</definedName>
    <definedName name="solver_ver" localSheetId="3" hidden="1">3</definedName>
    <definedName name="solver_ver" localSheetId="1" hidden="1">3</definedName>
    <definedName name="solver_ver" localSheetId="2" hidden="1">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2" l="1"/>
  <c r="K7" i="2"/>
  <c r="N6" i="2"/>
  <c r="L6" i="2"/>
  <c r="J6" i="2"/>
  <c r="M5" i="2"/>
  <c r="K5" i="2"/>
  <c r="N4" i="2"/>
  <c r="L4" i="2"/>
  <c r="J4" i="2"/>
  <c r="M3" i="2"/>
  <c r="K3" i="2"/>
  <c r="J9" i="2"/>
  <c r="L9" i="2"/>
  <c r="D9" i="4"/>
  <c r="G5" i="4"/>
  <c r="H8" i="4"/>
  <c r="G9" i="4"/>
  <c r="D8" i="4"/>
  <c r="C9" i="4"/>
  <c r="B8" i="4"/>
  <c r="C5" i="4"/>
  <c r="H4" i="4"/>
  <c r="D4" i="4"/>
  <c r="B4" i="4"/>
  <c r="C3" i="4"/>
  <c r="G3" i="4"/>
  <c r="U3" i="2"/>
  <c r="U4" i="2"/>
  <c r="U5" i="2"/>
  <c r="U6" i="2"/>
  <c r="U7" i="2"/>
  <c r="U8" i="2"/>
  <c r="R12" i="2"/>
  <c r="N7" i="2"/>
  <c r="L7" i="2"/>
  <c r="J7" i="2"/>
  <c r="N5" i="2"/>
  <c r="L5" i="2"/>
  <c r="J5" i="2"/>
  <c r="N3" i="2"/>
  <c r="L3" i="2"/>
  <c r="J3" i="2"/>
  <c r="P5" i="2"/>
  <c r="P7" i="2"/>
  <c r="N9" i="2"/>
  <c r="P3" i="2"/>
  <c r="B3" i="4"/>
  <c r="D3" i="4"/>
  <c r="H3" i="4"/>
  <c r="B5" i="4"/>
  <c r="D5" i="4"/>
  <c r="H5" i="4"/>
  <c r="B9" i="4"/>
  <c r="H9" i="4"/>
  <c r="H7" i="4" l="1"/>
  <c r="H11" i="4" s="1"/>
  <c r="T8" i="2" s="1"/>
  <c r="D7" i="4"/>
  <c r="F5" i="4"/>
  <c r="J5" i="4" s="1"/>
  <c r="T4" i="2" s="1"/>
  <c r="B7" i="4"/>
  <c r="B11" i="4" s="1"/>
  <c r="T6" i="2" s="1"/>
  <c r="F3" i="4"/>
  <c r="J3" i="4" s="1"/>
  <c r="T3" i="2" s="1"/>
  <c r="F9" i="4"/>
  <c r="J9" i="4" s="1"/>
  <c r="T5" i="2" s="1"/>
  <c r="D11" i="4" l="1"/>
  <c r="T7" i="2" s="1"/>
  <c r="K11" i="1"/>
  <c r="S11" i="1" s="1"/>
  <c r="K15" i="1"/>
  <c r="S13" i="1" s="1"/>
  <c r="L14" i="1"/>
  <c r="T12" i="1" s="1"/>
  <c r="F14" i="1"/>
  <c r="P12" i="1" s="1"/>
  <c r="H14" i="1"/>
  <c r="R12" i="1" s="1"/>
  <c r="G11" i="1"/>
  <c r="Q11" i="1" s="1"/>
  <c r="G15" i="1"/>
  <c r="Q13" i="1" s="1"/>
  <c r="F10" i="1"/>
  <c r="P10" i="1" s="1"/>
  <c r="H10" i="1"/>
  <c r="R10" i="1" s="1"/>
  <c r="L10" i="1"/>
  <c r="T10" i="1" s="1"/>
  <c r="K9" i="1"/>
  <c r="S9" i="1" s="1"/>
  <c r="G9" i="1"/>
  <c r="Q9" i="1" s="1"/>
  <c r="C10" i="1"/>
  <c r="C11" i="1"/>
  <c r="C12" i="1"/>
  <c r="C13" i="1"/>
  <c r="C14" i="1"/>
  <c r="C15" i="1"/>
  <c r="C16" i="1"/>
  <c r="C17" i="1"/>
  <c r="C9" i="1"/>
  <c r="D17" i="1" l="1"/>
  <c r="L15" i="1" s="1"/>
  <c r="T13" i="1" s="1"/>
  <c r="D15" i="1"/>
  <c r="F15" i="1" s="1"/>
  <c r="P13" i="1" s="1"/>
  <c r="D13" i="1"/>
  <c r="H11" i="1" s="1"/>
  <c r="R11" i="1" s="1"/>
  <c r="D16" i="1"/>
  <c r="H15" i="1" s="1"/>
  <c r="R13" i="1" s="1"/>
  <c r="D12" i="1"/>
  <c r="F11" i="1" s="1"/>
  <c r="P11" i="1" s="1"/>
  <c r="D11" i="1"/>
  <c r="L9" i="1" s="1"/>
  <c r="T9" i="1" s="1"/>
  <c r="D14" i="1"/>
  <c r="L11" i="1" s="1"/>
  <c r="T11" i="1" s="1"/>
  <c r="D10" i="1"/>
  <c r="H9" i="1" s="1"/>
  <c r="R9" i="1" s="1"/>
  <c r="D9" i="1"/>
  <c r="F9" i="1" s="1"/>
  <c r="P9" i="1" s="1"/>
  <c r="J15" i="1" l="1"/>
  <c r="L13" i="1"/>
  <c r="L17" i="1" s="1"/>
  <c r="T15" i="1" s="1"/>
  <c r="J11" i="1"/>
  <c r="H13" i="1"/>
  <c r="J9" i="1"/>
  <c r="F13" i="1"/>
  <c r="N15" i="1" l="1"/>
  <c r="V13" i="1" s="1"/>
  <c r="H17" i="1"/>
  <c r="R15" i="1" s="1"/>
  <c r="F17" i="1"/>
  <c r="P15" i="1" s="1"/>
  <c r="N11" i="1"/>
  <c r="V11" i="1" s="1"/>
  <c r="N9" i="1"/>
  <c r="V9" i="1" s="1"/>
</calcChain>
</file>

<file path=xl/sharedStrings.xml><?xml version="1.0" encoding="utf-8"?>
<sst xmlns="http://schemas.openxmlformats.org/spreadsheetml/2006/main" count="73" uniqueCount="35">
  <si>
    <t>÷</t>
  </si>
  <si>
    <t>×</t>
  </si>
  <si>
    <t>+</t>
  </si>
  <si>
    <t>−</t>
  </si>
  <si>
    <t>=</t>
  </si>
  <si>
    <t>Type</t>
  </si>
  <si>
    <t>Reference</t>
  </si>
  <si>
    <t>Rand-Value</t>
  </si>
  <si>
    <t>Rank</t>
  </si>
  <si>
    <t>Table for Maths Calculations</t>
  </si>
  <si>
    <t>Original Problem</t>
  </si>
  <si>
    <t>Constraints</t>
  </si>
  <si>
    <t>Calculations</t>
  </si>
  <si>
    <t>Solved Problem</t>
  </si>
  <si>
    <t>Vaules</t>
  </si>
  <si>
    <t>Starting
Value</t>
  </si>
  <si>
    <t>Random Problem</t>
  </si>
  <si>
    <t>For the Random Generator, refresh the sheet or hit F9. Refreshing the sheet will randomize the main values (white) (1-9 and randomize the operators (green) ( +, −, ×, ÷ ). Background calculations will determine the ending values (blue). The ending values have NOT been limited to being whole numbers.</t>
  </si>
  <si>
    <t>For the Specified Solver, follow these steps:</t>
  </si>
  <si>
    <t>1)</t>
  </si>
  <si>
    <t>Ensure Macros are enabled.</t>
  </si>
  <si>
    <t>2)</t>
  </si>
  <si>
    <t>3)</t>
  </si>
  <si>
    <t>4)</t>
  </si>
  <si>
    <t>5)</t>
  </si>
  <si>
    <t>6)</t>
  </si>
  <si>
    <t>7)</t>
  </si>
  <si>
    <t>8)</t>
  </si>
  <si>
    <t>Ensure Excel Solver is accessible.</t>
  </si>
  <si>
    <t>Click the "RESET" Button.</t>
  </si>
  <si>
    <t>Under the "Original Problem" section, in the green cells, use the dropdown buttons to select the desired operator.</t>
  </si>
  <si>
    <t>Under the "Original Problem" section, in the blue cells, enter the value for which you must solve (from the puzzle).</t>
  </si>
  <si>
    <t>Click the "SOLVE" Button.</t>
  </si>
  <si>
    <t>If the Excel Solver has found a solution, click "ok". The answers will populate under the "Solved Problem" section.</t>
  </si>
  <si>
    <t>If the Excel Solver does not find a solution, adjust the "Starting Value". Try all values (1-9) until the solution is found. This value will reset to 1 when the "RESET" button is clicked.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</si>
</sst>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20"/>
      <color theme="1"/>
      <name val="Times New Roman"/>
      <family val="1"/>
    </font>
    <font>
      <sz val="36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3" borderId="0" xfId="0" applyFont="1" applyFill="1"/>
    <xf numFmtId="0" fontId="1" fillId="3" borderId="1" xfId="0" quotePrefix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1" xfId="0" quotePrefix="1" applyFont="1" applyFill="1" applyBorder="1" applyAlignment="1">
      <alignment horizontal="center" vertical="center"/>
    </xf>
    <xf numFmtId="2" fontId="1" fillId="7" borderId="1" xfId="0" applyNumberFormat="1" applyFon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0" fontId="1" fillId="3" borderId="0" xfId="0" quotePrefix="1" applyFont="1" applyFill="1" applyAlignment="1">
      <alignment horizontal="center" vertical="center"/>
    </xf>
    <xf numFmtId="1" fontId="4" fillId="6" borderId="1" xfId="0" applyNumberFormat="1" applyFont="1" applyFill="1" applyBorder="1" applyAlignment="1">
      <alignment horizontal="center" vertical="center"/>
    </xf>
    <xf numFmtId="0" fontId="4" fillId="3" borderId="1" xfId="0" quotePrefix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1" fontId="3" fillId="7" borderId="1" xfId="0" applyNumberFormat="1" applyFont="1" applyFill="1" applyBorder="1" applyAlignment="1">
      <alignment horizontal="center" vertical="center"/>
    </xf>
    <xf numFmtId="1" fontId="3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8" borderId="2" xfId="0" quotePrefix="1" applyFont="1" applyFill="1" applyBorder="1" applyAlignment="1">
      <alignment horizontal="center" vertical="center"/>
    </xf>
    <xf numFmtId="0" fontId="1" fillId="8" borderId="3" xfId="0" quotePrefix="1" applyFont="1" applyFill="1" applyBorder="1" applyAlignment="1">
      <alignment horizontal="center" vertical="center"/>
    </xf>
    <xf numFmtId="0" fontId="1" fillId="8" borderId="4" xfId="0" quotePrefix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9</xdr:row>
      <xdr:rowOff>247650</xdr:rowOff>
    </xdr:from>
    <xdr:to>
      <xdr:col>7</xdr:col>
      <xdr:colOff>133350</xdr:colOff>
      <xdr:row>11</xdr:row>
      <xdr:rowOff>133350</xdr:rowOff>
    </xdr:to>
    <xdr:sp macro="[0]!ThisWorkbook.Clearcells" textlink="">
      <xdr:nvSpPr>
        <xdr:cNvPr id="2" name="Rounded Rectangle 1"/>
        <xdr:cNvSpPr/>
      </xdr:nvSpPr>
      <xdr:spPr>
        <a:xfrm>
          <a:off x="990600" y="4876800"/>
          <a:ext cx="274320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Times New Roman" panose="02020603050405020304" pitchFamily="18" charset="0"/>
              <a:cs typeface="Times New Roman" panose="02020603050405020304" pitchFamily="18" charset="0"/>
            </a:rPr>
            <a:t>RESET</a:t>
          </a:r>
        </a:p>
      </xdr:txBody>
    </xdr:sp>
    <xdr:clientData/>
  </xdr:twoCellAnchor>
  <xdr:twoCellAnchor>
    <xdr:from>
      <xdr:col>9</xdr:col>
      <xdr:colOff>466726</xdr:colOff>
      <xdr:row>9</xdr:row>
      <xdr:rowOff>247650</xdr:rowOff>
    </xdr:from>
    <xdr:to>
      <xdr:col>15</xdr:col>
      <xdr:colOff>123826</xdr:colOff>
      <xdr:row>11</xdr:row>
      <xdr:rowOff>133350</xdr:rowOff>
    </xdr:to>
    <xdr:sp macro="[0]!Solve" textlink="">
      <xdr:nvSpPr>
        <xdr:cNvPr id="7" name="Rounded Rectangle 6"/>
        <xdr:cNvSpPr/>
      </xdr:nvSpPr>
      <xdr:spPr>
        <a:xfrm>
          <a:off x="5095876" y="4876800"/>
          <a:ext cx="2743200" cy="91440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48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SOLVE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"/>
  <sheetViews>
    <sheetView tabSelected="1" workbookViewId="0"/>
  </sheetViews>
  <sheetFormatPr defaultColWidth="7.7109375" defaultRowHeight="40.5" customHeight="1" x14ac:dyDescent="0.25"/>
  <cols>
    <col min="1" max="16384" width="7.7109375" style="1"/>
  </cols>
  <sheetData>
    <row r="1" spans="1:2" ht="40.5" customHeight="1" x14ac:dyDescent="0.25">
      <c r="A1" s="1" t="s">
        <v>17</v>
      </c>
    </row>
    <row r="3" spans="1:2" ht="40.5" customHeight="1" x14ac:dyDescent="0.25">
      <c r="A3" s="1" t="s">
        <v>18</v>
      </c>
    </row>
    <row r="4" spans="1:2" ht="40.5" customHeight="1" x14ac:dyDescent="0.25">
      <c r="A4" s="1" t="s">
        <v>19</v>
      </c>
      <c r="B4" s="1" t="s">
        <v>20</v>
      </c>
    </row>
    <row r="5" spans="1:2" ht="40.5" customHeight="1" x14ac:dyDescent="0.25">
      <c r="A5" s="1" t="s">
        <v>21</v>
      </c>
      <c r="B5" s="1" t="s">
        <v>28</v>
      </c>
    </row>
    <row r="6" spans="1:2" ht="40.5" customHeight="1" x14ac:dyDescent="0.25">
      <c r="A6" s="1" t="s">
        <v>22</v>
      </c>
      <c r="B6" s="1" t="s">
        <v>29</v>
      </c>
    </row>
    <row r="7" spans="1:2" ht="40.5" customHeight="1" x14ac:dyDescent="0.25">
      <c r="A7" s="1" t="s">
        <v>23</v>
      </c>
      <c r="B7" s="1" t="s">
        <v>30</v>
      </c>
    </row>
    <row r="8" spans="1:2" ht="40.5" customHeight="1" x14ac:dyDescent="0.25">
      <c r="A8" s="1" t="s">
        <v>24</v>
      </c>
      <c r="B8" s="1" t="s">
        <v>31</v>
      </c>
    </row>
    <row r="9" spans="1:2" ht="40.5" customHeight="1" x14ac:dyDescent="0.25">
      <c r="A9" s="1" t="s">
        <v>25</v>
      </c>
      <c r="B9" s="1" t="s">
        <v>32</v>
      </c>
    </row>
    <row r="10" spans="1:2" ht="40.5" customHeight="1" x14ac:dyDescent="0.25">
      <c r="A10" s="1" t="s">
        <v>26</v>
      </c>
      <c r="B10" s="1" t="s">
        <v>33</v>
      </c>
    </row>
    <row r="11" spans="1:2" ht="40.5" customHeight="1" x14ac:dyDescent="0.25">
      <c r="A11" s="1" t="s">
        <v>27</v>
      </c>
      <c r="B11" s="1" t="s">
        <v>34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W17"/>
  <sheetViews>
    <sheetView topLeftCell="O7" workbookViewId="0">
      <selection activeCell="O7" sqref="O7"/>
    </sheetView>
  </sheetViews>
  <sheetFormatPr defaultColWidth="7.7109375" defaultRowHeight="40.5" customHeight="1" x14ac:dyDescent="0.25"/>
  <cols>
    <col min="1" max="1" width="0" style="1" hidden="1" customWidth="1"/>
    <col min="2" max="2" width="9.7109375" style="1" hidden="1" customWidth="1"/>
    <col min="3" max="3" width="11.42578125" style="1" hidden="1" customWidth="1"/>
    <col min="4" max="4" width="9.7109375" style="1" hidden="1" customWidth="1"/>
    <col min="5" max="14" width="0" style="1" hidden="1" customWidth="1"/>
    <col min="15" max="15" width="7.7109375" style="1"/>
    <col min="16" max="16" width="7.7109375" style="1" customWidth="1"/>
    <col min="17" max="17" width="7.7109375" style="1"/>
    <col min="18" max="18" width="7.7109375" style="1" customWidth="1"/>
    <col min="19" max="19" width="7.7109375" style="1"/>
    <col min="20" max="20" width="7.7109375" style="1" customWidth="1"/>
    <col min="21" max="21" width="7.7109375" style="1"/>
    <col min="22" max="22" width="7.7109375" style="1" customWidth="1"/>
    <col min="23" max="16384" width="7.7109375" style="1"/>
  </cols>
  <sheetData>
    <row r="1" spans="2:23" ht="40.5" hidden="1" customHeight="1" x14ac:dyDescent="0.25"/>
    <row r="2" spans="2:23" ht="40.5" hidden="1" customHeight="1" x14ac:dyDescent="0.25">
      <c r="B2" s="3" t="s">
        <v>6</v>
      </c>
      <c r="C2" s="3" t="s">
        <v>5</v>
      </c>
      <c r="D2" s="3" t="s">
        <v>6</v>
      </c>
    </row>
    <row r="3" spans="2:23" ht="40.5" hidden="1" customHeight="1" x14ac:dyDescent="0.25">
      <c r="B3" s="14">
        <v>1</v>
      </c>
      <c r="C3" s="15" t="s">
        <v>2</v>
      </c>
      <c r="D3" s="14">
        <v>1</v>
      </c>
    </row>
    <row r="4" spans="2:23" ht="40.5" hidden="1" customHeight="1" x14ac:dyDescent="0.25">
      <c r="B4" s="14">
        <v>2</v>
      </c>
      <c r="C4" s="14" t="s">
        <v>3</v>
      </c>
      <c r="D4" s="14">
        <v>2</v>
      </c>
    </row>
    <row r="5" spans="2:23" ht="40.5" hidden="1" customHeight="1" x14ac:dyDescent="0.25">
      <c r="B5" s="14">
        <v>3</v>
      </c>
      <c r="C5" s="14" t="s">
        <v>1</v>
      </c>
      <c r="D5" s="14">
        <v>3</v>
      </c>
    </row>
    <row r="6" spans="2:23" ht="40.5" hidden="1" customHeight="1" x14ac:dyDescent="0.25">
      <c r="B6" s="14">
        <v>4</v>
      </c>
      <c r="C6" s="14" t="s">
        <v>0</v>
      </c>
      <c r="D6" s="14">
        <v>4</v>
      </c>
    </row>
    <row r="7" spans="2:23" ht="40.5" customHeight="1" x14ac:dyDescent="0.25">
      <c r="B7" s="12"/>
      <c r="C7" s="12"/>
      <c r="D7" s="8"/>
    </row>
    <row r="8" spans="2:23" s="8" customFormat="1" ht="40.5" customHeight="1" x14ac:dyDescent="0.25">
      <c r="B8" s="3" t="s">
        <v>6</v>
      </c>
      <c r="C8" s="3" t="s">
        <v>7</v>
      </c>
      <c r="D8" s="3" t="s">
        <v>8</v>
      </c>
      <c r="F8" s="26" t="s">
        <v>9</v>
      </c>
      <c r="G8" s="26"/>
      <c r="H8" s="26"/>
      <c r="I8" s="26"/>
      <c r="J8" s="26"/>
      <c r="K8" s="26"/>
      <c r="L8" s="26"/>
      <c r="M8" s="26"/>
      <c r="N8" s="26"/>
      <c r="P8" s="27" t="s">
        <v>16</v>
      </c>
      <c r="Q8" s="28"/>
      <c r="R8" s="28"/>
      <c r="S8" s="28"/>
      <c r="T8" s="28"/>
      <c r="U8" s="28"/>
      <c r="V8" s="29"/>
    </row>
    <row r="9" spans="2:23" s="8" customFormat="1" ht="40.5" customHeight="1" x14ac:dyDescent="0.25">
      <c r="B9" s="11">
        <v>1</v>
      </c>
      <c r="C9" s="13">
        <f ca="1">RAND()</f>
        <v>0.1454108993744484</v>
      </c>
      <c r="D9" s="9">
        <f ca="1">RANK(C9,$C$9:$C$17,1)</f>
        <v>2</v>
      </c>
      <c r="F9" s="9">
        <f ca="1">D9</f>
        <v>2</v>
      </c>
      <c r="G9" s="10">
        <f ca="1">RANDBETWEEN(1,4)</f>
        <v>4</v>
      </c>
      <c r="H9" s="9">
        <f ca="1">D10</f>
        <v>8</v>
      </c>
      <c r="I9" s="3" t="s">
        <v>4</v>
      </c>
      <c r="J9" s="17">
        <f ca="1">IF(G9=1,F9+H9,IF(G9=2,F9-H9,IF(G9=3,F9*H9,IF(G9=4,F9/H9,"ERR"))))</f>
        <v>0.25</v>
      </c>
      <c r="K9" s="10">
        <f ca="1">RANDBETWEEN(1,4)</f>
        <v>3</v>
      </c>
      <c r="L9" s="9">
        <f ca="1">D11</f>
        <v>9</v>
      </c>
      <c r="M9" s="3" t="s">
        <v>4</v>
      </c>
      <c r="N9" s="16">
        <f ca="1">IF(K9=1,J9+L9,IF(K9=2,J9-L9,IF(K9=3,J9*L9,IF(K9=4,J9/L9,"ERR"))))</f>
        <v>2.25</v>
      </c>
      <c r="P9" s="25">
        <f ca="1">F9</f>
        <v>2</v>
      </c>
      <c r="Q9" s="19" t="str">
        <f ca="1">VLOOKUP(G9,$B$3:$C$6,2,FALSE)</f>
        <v>÷</v>
      </c>
      <c r="R9" s="25">
        <f ca="1">H9</f>
        <v>8</v>
      </c>
      <c r="S9" s="19" t="str">
        <f ca="1">VLOOKUP(K9,$B$3:$C$6,2,FALSE)</f>
        <v>×</v>
      </c>
      <c r="T9" s="25">
        <f ca="1">L9</f>
        <v>9</v>
      </c>
      <c r="U9" s="20" t="s">
        <v>4</v>
      </c>
      <c r="V9" s="16">
        <f ca="1">N9</f>
        <v>2.25</v>
      </c>
    </row>
    <row r="10" spans="2:23" s="8" customFormat="1" ht="40.5" customHeight="1" x14ac:dyDescent="0.25">
      <c r="B10" s="11">
        <v>2</v>
      </c>
      <c r="C10" s="13">
        <f t="shared" ref="C10:C17" ca="1" si="0">RAND()</f>
        <v>0.58652019642857189</v>
      </c>
      <c r="D10" s="9">
        <f t="shared" ref="D10:D17" ca="1" si="1">RANK(C10,$C$9:$C$17,1)</f>
        <v>8</v>
      </c>
      <c r="F10" s="10">
        <f ca="1">RANDBETWEEN(1,4)</f>
        <v>1</v>
      </c>
      <c r="G10" s="5"/>
      <c r="H10" s="10">
        <f ca="1">RANDBETWEEN(1,4)</f>
        <v>2</v>
      </c>
      <c r="I10" s="5"/>
      <c r="J10" s="5"/>
      <c r="K10" s="5"/>
      <c r="L10" s="10">
        <f ca="1">RANDBETWEEN(1,4)</f>
        <v>4</v>
      </c>
      <c r="M10" s="5"/>
      <c r="N10" s="4"/>
      <c r="P10" s="19" t="str">
        <f ca="1">VLOOKUP(F10,$B$3:$C$6,2,FALSE)</f>
        <v>+</v>
      </c>
      <c r="Q10" s="7"/>
      <c r="R10" s="19" t="str">
        <f ca="1">VLOOKUP(H10,$B$3:$C$6,2,FALSE)</f>
        <v>−</v>
      </c>
      <c r="S10" s="7"/>
      <c r="T10" s="19" t="str">
        <f ca="1">VLOOKUP(L10,$B$3:$C$6,2,FALSE)</f>
        <v>÷</v>
      </c>
      <c r="U10" s="5"/>
      <c r="V10" s="5"/>
    </row>
    <row r="11" spans="2:23" s="8" customFormat="1" ht="40.5" customHeight="1" x14ac:dyDescent="0.25">
      <c r="B11" s="11">
        <v>3</v>
      </c>
      <c r="C11" s="13">
        <f t="shared" ca="1" si="0"/>
        <v>0.60236596688592747</v>
      </c>
      <c r="D11" s="9">
        <f t="shared" ca="1" si="1"/>
        <v>9</v>
      </c>
      <c r="F11" s="9">
        <f ca="1">D12</f>
        <v>7</v>
      </c>
      <c r="G11" s="10">
        <f ca="1">RANDBETWEEN(1,4)</f>
        <v>4</v>
      </c>
      <c r="H11" s="9">
        <f ca="1">D13</f>
        <v>4</v>
      </c>
      <c r="I11" s="3" t="s">
        <v>4</v>
      </c>
      <c r="J11" s="17">
        <f ca="1">IF(G11=1,F11+H11,IF(G11=2,F11-H11,IF(G11=3,F11*H11,IF(G11=4,F11/H11,"ERR"))))</f>
        <v>1.75</v>
      </c>
      <c r="K11" s="10">
        <f ca="1">RANDBETWEEN(1,4)</f>
        <v>2</v>
      </c>
      <c r="L11" s="9">
        <f ca="1">D14</f>
        <v>3</v>
      </c>
      <c r="M11" s="3" t="s">
        <v>4</v>
      </c>
      <c r="N11" s="16">
        <f ca="1">IF(K11=1,J11+L11,IF(K11=2,J11-L11,IF(K11=3,J11*L11,IF(K11=4,J11/L11,"ERR"))))</f>
        <v>-1.25</v>
      </c>
      <c r="P11" s="25">
        <f ca="1">F11</f>
        <v>7</v>
      </c>
      <c r="Q11" s="19" t="str">
        <f ca="1">VLOOKUP(G11,$B$3:$C$6,2,FALSE)</f>
        <v>÷</v>
      </c>
      <c r="R11" s="25">
        <f ca="1">H11</f>
        <v>4</v>
      </c>
      <c r="S11" s="19" t="str">
        <f ca="1">VLOOKUP(K11,$B$3:$C$6,2,FALSE)</f>
        <v>−</v>
      </c>
      <c r="T11" s="25">
        <f ca="1">L11</f>
        <v>3</v>
      </c>
      <c r="U11" s="20" t="s">
        <v>4</v>
      </c>
      <c r="V11" s="16">
        <f ca="1">N11</f>
        <v>-1.25</v>
      </c>
    </row>
    <row r="12" spans="2:23" s="8" customFormat="1" ht="40.5" customHeight="1" x14ac:dyDescent="0.25">
      <c r="B12" s="11">
        <v>4</v>
      </c>
      <c r="C12" s="13">
        <f t="shared" ca="1" si="0"/>
        <v>0.55493805977041599</v>
      </c>
      <c r="D12" s="9">
        <f t="shared" ca="1" si="1"/>
        <v>7</v>
      </c>
      <c r="F12" s="3" t="s">
        <v>4</v>
      </c>
      <c r="G12" s="5"/>
      <c r="H12" s="3" t="s">
        <v>4</v>
      </c>
      <c r="I12" s="5"/>
      <c r="J12" s="5"/>
      <c r="K12" s="5"/>
      <c r="L12" s="3" t="s">
        <v>4</v>
      </c>
      <c r="M12" s="5"/>
      <c r="N12" s="4"/>
      <c r="P12" s="19" t="str">
        <f ca="1">VLOOKUP(F14,$B$3:$C$6,2,FALSE)</f>
        <v>−</v>
      </c>
      <c r="Q12" s="7"/>
      <c r="R12" s="19" t="str">
        <f ca="1">VLOOKUP(H14,$B$3:$C$6,2,FALSE)</f>
        <v>−</v>
      </c>
      <c r="S12" s="7"/>
      <c r="T12" s="19" t="str">
        <f ca="1">VLOOKUP(L14,$B$3:$C$6,2,FALSE)</f>
        <v>+</v>
      </c>
      <c r="U12" s="5"/>
      <c r="V12" s="5"/>
    </row>
    <row r="13" spans="2:23" s="8" customFormat="1" ht="40.5" customHeight="1" x14ac:dyDescent="0.25">
      <c r="B13" s="11">
        <v>5</v>
      </c>
      <c r="C13" s="13">
        <f t="shared" ca="1" si="0"/>
        <v>0.35832619489751916</v>
      </c>
      <c r="D13" s="9">
        <f t="shared" ca="1" si="1"/>
        <v>4</v>
      </c>
      <c r="F13" s="17">
        <f ca="1">IF(F10=1,F9+F11,IF(F10=2,F9-F11,IF(F10=3,F9*F11,IF(F10=4,F9/F11,"ERR"))))</f>
        <v>9</v>
      </c>
      <c r="G13" s="5"/>
      <c r="H13" s="17">
        <f ca="1">IF(H10=1,H9+H11,IF(H10=2,H9-H11,IF(H10=3,H9*H11,IF(H10=4,H9/H11,"ERR"))))</f>
        <v>4</v>
      </c>
      <c r="I13" s="5"/>
      <c r="J13" s="5"/>
      <c r="K13" s="5"/>
      <c r="L13" s="17">
        <f ca="1">IF(L10=1,L9+L11,IF(L10=2,L9-L11,IF(L10=3,L9*L11,IF(L10=4,L9/L11,"ERR"))))</f>
        <v>3</v>
      </c>
      <c r="M13" s="5"/>
      <c r="N13" s="4"/>
      <c r="P13" s="25">
        <f ca="1">F15</f>
        <v>6</v>
      </c>
      <c r="Q13" s="19" t="str">
        <f ca="1">VLOOKUP(G15,$B$3:$C$6,2,FALSE)</f>
        <v>+</v>
      </c>
      <c r="R13" s="25">
        <f ca="1">H15</f>
        <v>5</v>
      </c>
      <c r="S13" s="19" t="str">
        <f ca="1">VLOOKUP(K15,$B$3:$C$6,2,FALSE)</f>
        <v>×</v>
      </c>
      <c r="T13" s="25">
        <f ca="1">L15</f>
        <v>1</v>
      </c>
      <c r="U13" s="20" t="s">
        <v>4</v>
      </c>
      <c r="V13" s="16">
        <f ca="1">N15</f>
        <v>11</v>
      </c>
      <c r="W13" s="18"/>
    </row>
    <row r="14" spans="2:23" s="8" customFormat="1" ht="40.5" customHeight="1" x14ac:dyDescent="0.25">
      <c r="B14" s="11">
        <v>6</v>
      </c>
      <c r="C14" s="13">
        <f t="shared" ca="1" si="0"/>
        <v>0.35371894488725764</v>
      </c>
      <c r="D14" s="9">
        <f t="shared" ca="1" si="1"/>
        <v>3</v>
      </c>
      <c r="F14" s="10">
        <f ca="1">RANDBETWEEN(1,4)</f>
        <v>2</v>
      </c>
      <c r="G14" s="5"/>
      <c r="H14" s="10">
        <f ca="1">RANDBETWEEN(1,4)</f>
        <v>2</v>
      </c>
      <c r="I14" s="5"/>
      <c r="J14" s="5"/>
      <c r="K14" s="5"/>
      <c r="L14" s="10">
        <f ca="1">RANDBETWEEN(1,4)</f>
        <v>1</v>
      </c>
      <c r="M14" s="5"/>
      <c r="N14" s="4"/>
      <c r="P14" s="20" t="s">
        <v>4</v>
      </c>
      <c r="Q14" s="5"/>
      <c r="R14" s="20" t="s">
        <v>4</v>
      </c>
      <c r="S14" s="5"/>
      <c r="T14" s="20" t="s">
        <v>4</v>
      </c>
      <c r="U14" s="5"/>
      <c r="V14" s="5"/>
    </row>
    <row r="15" spans="2:23" s="8" customFormat="1" ht="40.5" customHeight="1" x14ac:dyDescent="0.25">
      <c r="B15" s="11">
        <v>7</v>
      </c>
      <c r="C15" s="13">
        <f t="shared" ca="1" si="0"/>
        <v>0.54870128927614381</v>
      </c>
      <c r="D15" s="9">
        <f t="shared" ca="1" si="1"/>
        <v>6</v>
      </c>
      <c r="F15" s="9">
        <f ca="1">D15</f>
        <v>6</v>
      </c>
      <c r="G15" s="10">
        <f ca="1">RANDBETWEEN(1,4)</f>
        <v>1</v>
      </c>
      <c r="H15" s="9">
        <f ca="1">D16</f>
        <v>5</v>
      </c>
      <c r="I15" s="3" t="s">
        <v>4</v>
      </c>
      <c r="J15" s="17">
        <f ca="1">IF(G15=1,F15+H15,IF(G15=2,F15-H15,IF(G15=3,F15*H15,IF(G15=4,F15/H15,"ERR"))))</f>
        <v>11</v>
      </c>
      <c r="K15" s="10">
        <f ca="1">RANDBETWEEN(1,4)</f>
        <v>3</v>
      </c>
      <c r="L15" s="9">
        <f ca="1">D17</f>
        <v>1</v>
      </c>
      <c r="M15" s="3" t="s">
        <v>4</v>
      </c>
      <c r="N15" s="16">
        <f ca="1">IF(K15=1,J15+L15,IF(K15=2,J15-L15,IF(K15=3,J15*L15,IF(K15=4,J15/L15,"ERR"))))</f>
        <v>11</v>
      </c>
      <c r="P15" s="16">
        <f ca="1">F17</f>
        <v>3</v>
      </c>
      <c r="Q15" s="5"/>
      <c r="R15" s="16">
        <f ca="1">H17</f>
        <v>-1</v>
      </c>
      <c r="S15" s="5"/>
      <c r="T15" s="16">
        <f ca="1">L17</f>
        <v>4</v>
      </c>
      <c r="U15" s="5"/>
      <c r="V15" s="5"/>
    </row>
    <row r="16" spans="2:23" s="8" customFormat="1" ht="40.5" customHeight="1" x14ac:dyDescent="0.25">
      <c r="B16" s="11">
        <v>8</v>
      </c>
      <c r="C16" s="13">
        <f t="shared" ca="1" si="0"/>
        <v>0.40635493378561882</v>
      </c>
      <c r="D16" s="9">
        <f t="shared" ca="1" si="1"/>
        <v>5</v>
      </c>
      <c r="F16" s="3" t="s">
        <v>4</v>
      </c>
      <c r="G16" s="5"/>
      <c r="H16" s="3" t="s">
        <v>4</v>
      </c>
      <c r="I16" s="5"/>
      <c r="J16" s="5"/>
      <c r="K16" s="5"/>
      <c r="L16" s="3" t="s">
        <v>4</v>
      </c>
      <c r="M16" s="5"/>
      <c r="N16" s="5"/>
    </row>
    <row r="17" spans="2:14" s="8" customFormat="1" ht="40.5" customHeight="1" x14ac:dyDescent="0.25">
      <c r="B17" s="11">
        <v>9</v>
      </c>
      <c r="C17" s="13">
        <f t="shared" ca="1" si="0"/>
        <v>3.3545987094740992E-2</v>
      </c>
      <c r="D17" s="9">
        <f t="shared" ca="1" si="1"/>
        <v>1</v>
      </c>
      <c r="F17" s="16">
        <f ca="1">IF(F14=1,F13+F15,IF(F14=2,F13-F15,IF(F14=3,F13*F15,IF(F14=4,F13/F15,"ERR"))))</f>
        <v>3</v>
      </c>
      <c r="G17" s="4"/>
      <c r="H17" s="16">
        <f ca="1">IF(H14=1,H13+H15,IF(H14=2,H13-H15,IF(H14=3,H13*H15,IF(H14=4,H13/H15,"ERR"))))</f>
        <v>-1</v>
      </c>
      <c r="I17" s="4"/>
      <c r="J17" s="4"/>
      <c r="K17" s="4"/>
      <c r="L17" s="16">
        <f ca="1">IF(L14=1,L13+L15,IF(L14=2,L13-L15,IF(L14=3,L13*L15,IF(L14=4,L13/L15,"ERR"))))</f>
        <v>4</v>
      </c>
      <c r="M17" s="5"/>
      <c r="N17" s="5"/>
    </row>
  </sheetData>
  <mergeCells count="2">
    <mergeCell ref="F8:N8"/>
    <mergeCell ref="P8:V8"/>
  </mergeCells>
  <pageMargins left="0.7" right="0.7" top="0.75" bottom="0.75" header="0.3" footer="0.3"/>
  <pageSetup orientation="portrait" horizontalDpi="1200" verticalDpi="1200" r:id="rId1"/>
  <ignoredErrors>
    <ignoredError sqref="Q10 Q14:T14 Q12 P14 S10 S1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W12"/>
  <sheetViews>
    <sheetView workbookViewId="0"/>
  </sheetViews>
  <sheetFormatPr defaultColWidth="7.7109375" defaultRowHeight="40.5" customHeight="1" x14ac:dyDescent="0.25"/>
  <cols>
    <col min="1" max="16" width="7.7109375" style="1" customWidth="1"/>
    <col min="17" max="17" width="7.7109375" style="1"/>
    <col min="18" max="19" width="7.7109375" style="1" hidden="1" customWidth="1"/>
    <col min="20" max="21" width="11.7109375" style="1" hidden="1" customWidth="1"/>
    <col min="22" max="22" width="0" style="1" hidden="1" customWidth="1"/>
    <col min="23" max="16384" width="7.7109375" style="1"/>
  </cols>
  <sheetData>
    <row r="2" spans="2:23" s="8" customFormat="1" ht="40.5" customHeight="1" x14ac:dyDescent="0.25">
      <c r="B2" s="27" t="s">
        <v>10</v>
      </c>
      <c r="C2" s="28"/>
      <c r="D2" s="28"/>
      <c r="E2" s="28"/>
      <c r="F2" s="28"/>
      <c r="G2" s="28"/>
      <c r="H2" s="29"/>
      <c r="J2" s="27" t="s">
        <v>13</v>
      </c>
      <c r="K2" s="28"/>
      <c r="L2" s="28"/>
      <c r="M2" s="28"/>
      <c r="N2" s="28"/>
      <c r="O2" s="28"/>
      <c r="P2" s="29"/>
      <c r="R2" s="21" t="s">
        <v>14</v>
      </c>
      <c r="T2" s="21" t="s">
        <v>12</v>
      </c>
      <c r="U2" s="21" t="s">
        <v>11</v>
      </c>
      <c r="W2" s="23" t="s">
        <v>15</v>
      </c>
    </row>
    <row r="3" spans="2:23" s="8" customFormat="1" ht="40.5" customHeight="1" x14ac:dyDescent="0.25">
      <c r="B3" s="6"/>
      <c r="C3" s="19"/>
      <c r="D3" s="6"/>
      <c r="E3" s="19"/>
      <c r="F3" s="6"/>
      <c r="G3" s="2"/>
      <c r="H3" s="24"/>
      <c r="J3" s="25">
        <f>Specified_Solver!R3</f>
        <v>1</v>
      </c>
      <c r="K3" s="19" t="str">
        <f>IF(C3="","",C3)</f>
        <v/>
      </c>
      <c r="L3" s="25">
        <f>Specified_Solver!R4</f>
        <v>1</v>
      </c>
      <c r="M3" s="19" t="str">
        <f>IF(E3="","",E3)</f>
        <v/>
      </c>
      <c r="N3" s="25">
        <f>Specified_Solver!R5</f>
        <v>1</v>
      </c>
      <c r="O3" s="20" t="s">
        <v>4</v>
      </c>
      <c r="P3" s="24">
        <f t="shared" ref="P3" si="0">H3</f>
        <v>0</v>
      </c>
      <c r="R3" s="9">
        <v>1</v>
      </c>
      <c r="T3" s="22" t="e">
        <f>Maths_for_Solver!J3</f>
        <v>#N/A</v>
      </c>
      <c r="U3" s="22">
        <f>Specified_Solver!H3</f>
        <v>0</v>
      </c>
      <c r="W3" s="9">
        <v>1</v>
      </c>
    </row>
    <row r="4" spans="2:23" s="8" customFormat="1" ht="40.5" customHeight="1" x14ac:dyDescent="0.25">
      <c r="B4" s="19"/>
      <c r="C4" s="7"/>
      <c r="D4" s="19"/>
      <c r="E4" s="7"/>
      <c r="F4" s="19"/>
      <c r="G4" s="5"/>
      <c r="H4" s="5"/>
      <c r="J4" s="19" t="str">
        <f>IF(B4="","",B4)</f>
        <v/>
      </c>
      <c r="K4" s="7"/>
      <c r="L4" s="19" t="str">
        <f>IF(D4="","",D4)</f>
        <v/>
      </c>
      <c r="M4" s="7"/>
      <c r="N4" s="19" t="str">
        <f>IF(F4="","",F4)</f>
        <v/>
      </c>
      <c r="O4" s="5"/>
      <c r="P4" s="5"/>
      <c r="R4" s="9">
        <v>1</v>
      </c>
      <c r="T4" s="22" t="e">
        <f>Maths_for_Solver!J5</f>
        <v>#N/A</v>
      </c>
      <c r="U4" s="22">
        <f>Specified_Solver!H5</f>
        <v>0</v>
      </c>
    </row>
    <row r="5" spans="2:23" s="8" customFormat="1" ht="40.5" customHeight="1" x14ac:dyDescent="0.25">
      <c r="B5" s="6"/>
      <c r="C5" s="19"/>
      <c r="D5" s="6"/>
      <c r="E5" s="19"/>
      <c r="F5" s="6"/>
      <c r="G5" s="2"/>
      <c r="H5" s="24"/>
      <c r="J5" s="25">
        <f>Specified_Solver!R6</f>
        <v>1</v>
      </c>
      <c r="K5" s="19" t="str">
        <f>IF(C5="","",C5)</f>
        <v/>
      </c>
      <c r="L5" s="25">
        <f>Specified_Solver!R7</f>
        <v>1</v>
      </c>
      <c r="M5" s="19" t="str">
        <f>IF(E5="","",E5)</f>
        <v/>
      </c>
      <c r="N5" s="25">
        <f>Specified_Solver!R8</f>
        <v>1</v>
      </c>
      <c r="O5" s="20" t="s">
        <v>4</v>
      </c>
      <c r="P5" s="24">
        <f t="shared" ref="P5:P7" si="1">H5</f>
        <v>0</v>
      </c>
      <c r="R5" s="9">
        <v>1</v>
      </c>
      <c r="T5" s="22" t="e">
        <f>Maths_for_Solver!J9</f>
        <v>#N/A</v>
      </c>
      <c r="U5" s="22">
        <f>Specified_Solver!H7</f>
        <v>0</v>
      </c>
    </row>
    <row r="6" spans="2:23" s="8" customFormat="1" ht="40.5" customHeight="1" x14ac:dyDescent="0.25">
      <c r="B6" s="19"/>
      <c r="C6" s="7"/>
      <c r="D6" s="19"/>
      <c r="E6" s="7"/>
      <c r="F6" s="19"/>
      <c r="G6" s="5"/>
      <c r="H6" s="5"/>
      <c r="J6" s="19" t="str">
        <f>IF(B6="","",B6)</f>
        <v/>
      </c>
      <c r="K6" s="7"/>
      <c r="L6" s="19" t="str">
        <f>IF(D6="","",D6)</f>
        <v/>
      </c>
      <c r="M6" s="7"/>
      <c r="N6" s="19" t="str">
        <f>IF(F6="","",F6)</f>
        <v/>
      </c>
      <c r="O6" s="5"/>
      <c r="P6" s="5"/>
      <c r="R6" s="9">
        <v>1</v>
      </c>
      <c r="T6" s="22" t="e">
        <f>Maths_for_Solver!B11</f>
        <v>#N/A</v>
      </c>
      <c r="U6" s="22">
        <f>Specified_Solver!B9</f>
        <v>0</v>
      </c>
    </row>
    <row r="7" spans="2:23" s="8" customFormat="1" ht="40.5" customHeight="1" x14ac:dyDescent="0.25">
      <c r="B7" s="6"/>
      <c r="C7" s="19"/>
      <c r="D7" s="6"/>
      <c r="E7" s="19"/>
      <c r="F7" s="6"/>
      <c r="G7" s="2"/>
      <c r="H7" s="24"/>
      <c r="J7" s="25">
        <f>Specified_Solver!R9</f>
        <v>1</v>
      </c>
      <c r="K7" s="19" t="str">
        <f>IF(C7="","",C7)</f>
        <v/>
      </c>
      <c r="L7" s="25">
        <f>Specified_Solver!R10</f>
        <v>1</v>
      </c>
      <c r="M7" s="19" t="str">
        <f>IF(E7="","",E7)</f>
        <v/>
      </c>
      <c r="N7" s="25">
        <f>Specified_Solver!R11</f>
        <v>1</v>
      </c>
      <c r="O7" s="20" t="s">
        <v>4</v>
      </c>
      <c r="P7" s="24">
        <f t="shared" si="1"/>
        <v>0</v>
      </c>
      <c r="R7" s="9">
        <v>1</v>
      </c>
      <c r="T7" s="22" t="e">
        <f>Maths_for_Solver!D11</f>
        <v>#N/A</v>
      </c>
      <c r="U7" s="22">
        <f>Specified_Solver!D9</f>
        <v>0</v>
      </c>
    </row>
    <row r="8" spans="2:23" s="8" customFormat="1" ht="40.5" customHeight="1" x14ac:dyDescent="0.25">
      <c r="B8" s="2"/>
      <c r="C8" s="5"/>
      <c r="D8" s="2"/>
      <c r="E8" s="5"/>
      <c r="F8" s="2"/>
      <c r="G8" s="5"/>
      <c r="H8" s="5"/>
      <c r="J8" s="20" t="s">
        <v>4</v>
      </c>
      <c r="K8" s="5"/>
      <c r="L8" s="20" t="s">
        <v>4</v>
      </c>
      <c r="M8" s="5"/>
      <c r="N8" s="20" t="s">
        <v>4</v>
      </c>
      <c r="O8" s="5"/>
      <c r="P8" s="5"/>
      <c r="R8" s="9">
        <v>1</v>
      </c>
      <c r="T8" s="22" t="e">
        <f>Maths_for_Solver!H11</f>
        <v>#N/A</v>
      </c>
      <c r="U8" s="22">
        <f>Specified_Solver!F9</f>
        <v>0</v>
      </c>
    </row>
    <row r="9" spans="2:23" s="8" customFormat="1" ht="40.5" customHeight="1" x14ac:dyDescent="0.25">
      <c r="B9" s="24"/>
      <c r="C9" s="5"/>
      <c r="D9" s="24"/>
      <c r="E9" s="5"/>
      <c r="F9" s="24"/>
      <c r="G9" s="5"/>
      <c r="H9" s="5"/>
      <c r="J9" s="24">
        <f t="shared" ref="J9:N9" si="2">B9</f>
        <v>0</v>
      </c>
      <c r="K9" s="5"/>
      <c r="L9" s="24">
        <f t="shared" si="2"/>
        <v>0</v>
      </c>
      <c r="M9" s="5"/>
      <c r="N9" s="24">
        <f t="shared" si="2"/>
        <v>0</v>
      </c>
      <c r="O9" s="5"/>
      <c r="P9" s="5"/>
      <c r="R9" s="9">
        <v>1</v>
      </c>
    </row>
    <row r="10" spans="2:23" s="8" customFormat="1" ht="40.5" customHeight="1" x14ac:dyDescent="0.25">
      <c r="R10" s="9">
        <v>1</v>
      </c>
    </row>
    <row r="11" spans="2:23" s="8" customFormat="1" ht="40.5" customHeight="1" x14ac:dyDescent="0.25">
      <c r="R11" s="9">
        <v>1</v>
      </c>
    </row>
    <row r="12" spans="2:23" ht="40.5" customHeight="1" x14ac:dyDescent="0.25">
      <c r="R12" s="9">
        <f>SUM(R3:R11)</f>
        <v>9</v>
      </c>
    </row>
  </sheetData>
  <mergeCells count="2">
    <mergeCell ref="B2:H2"/>
    <mergeCell ref="J2:P2"/>
  </mergeCells>
  <pageMargins left="0.7" right="0.7" top="0.75" bottom="0.75" header="0.3" footer="0.3"/>
  <pageSetup orientation="portrait" horizontalDpi="1200" verticalDpi="1200" r:id="rId1"/>
  <ignoredErrors>
    <ignoredError sqref="L7 J5 L3 N3 M4 L5 N5 M6 N7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Random_Generator!$C$3:$C$6</xm:f>
          </x14:formula1>
          <xm:sqref>C3 E3 B4 D4 F4 E5 C5 B6 D6 F6 E7 C7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J17"/>
  <sheetViews>
    <sheetView workbookViewId="0"/>
  </sheetViews>
  <sheetFormatPr defaultColWidth="7.7109375" defaultRowHeight="40.5" customHeight="1" x14ac:dyDescent="0.25"/>
  <cols>
    <col min="1" max="16384" width="7.7109375" style="1"/>
  </cols>
  <sheetData>
    <row r="2" spans="2:10" s="8" customFormat="1" ht="40.5" customHeight="1" x14ac:dyDescent="0.25">
      <c r="B2" s="26" t="s">
        <v>9</v>
      </c>
      <c r="C2" s="26"/>
      <c r="D2" s="26"/>
      <c r="E2" s="26"/>
      <c r="F2" s="26"/>
      <c r="G2" s="26"/>
      <c r="H2" s="26"/>
      <c r="I2" s="26"/>
      <c r="J2" s="26"/>
    </row>
    <row r="3" spans="2:10" s="8" customFormat="1" ht="40.5" customHeight="1" x14ac:dyDescent="0.25">
      <c r="B3" s="9">
        <f>Specified_Solver!R3</f>
        <v>1</v>
      </c>
      <c r="C3" s="10" t="e">
        <f>VLOOKUP(Specified_Solver!C3,Random_Generator!$C$3:$D$6,2,FALSE)</f>
        <v>#N/A</v>
      </c>
      <c r="D3" s="9">
        <f>Specified_Solver!R4</f>
        <v>1</v>
      </c>
      <c r="E3" s="3" t="s">
        <v>4</v>
      </c>
      <c r="F3" s="17" t="e">
        <f>IF(C3=1,B3+D3,IF(C3=2,B3-D3,IF(C3=3,B3*D3,IF(C3=4,B3/D3,"ERR"))))</f>
        <v>#N/A</v>
      </c>
      <c r="G3" s="10" t="e">
        <f>VLOOKUP(Specified_Solver!E3,Random_Generator!$C$3:$D$6,2,FALSE)</f>
        <v>#N/A</v>
      </c>
      <c r="H3" s="9">
        <f>Specified_Solver!R5</f>
        <v>1</v>
      </c>
      <c r="I3" s="3" t="s">
        <v>4</v>
      </c>
      <c r="J3" s="16" t="e">
        <f>IF(G3=1,F3+H3,IF(G3=2,F3-H3,IF(G3=3,F3*H3,IF(G3=4,F3/H3,"ERR"))))</f>
        <v>#N/A</v>
      </c>
    </row>
    <row r="4" spans="2:10" s="8" customFormat="1" ht="40.5" customHeight="1" x14ac:dyDescent="0.25">
      <c r="B4" s="10" t="e">
        <f>VLOOKUP(Specified_Solver!B4,Random_Generator!$C$3:$D$6,2,FALSE)</f>
        <v>#N/A</v>
      </c>
      <c r="C4" s="5"/>
      <c r="D4" s="10" t="e">
        <f>VLOOKUP(Specified_Solver!D4,Random_Generator!$C$3:$D$6,2,FALSE)</f>
        <v>#N/A</v>
      </c>
      <c r="E4" s="5"/>
      <c r="F4" s="5"/>
      <c r="G4" s="5"/>
      <c r="H4" s="10" t="e">
        <f>VLOOKUP(Specified_Solver!F4,Random_Generator!$C$3:$D$6,2,FALSE)</f>
        <v>#N/A</v>
      </c>
      <c r="I4" s="5"/>
      <c r="J4" s="4"/>
    </row>
    <row r="5" spans="2:10" s="8" customFormat="1" ht="40.5" customHeight="1" x14ac:dyDescent="0.25">
      <c r="B5" s="9">
        <f>Specified_Solver!R6</f>
        <v>1</v>
      </c>
      <c r="C5" s="10" t="e">
        <f>VLOOKUP(Specified_Solver!C5,Random_Generator!$C$3:$D$6,2,FALSE)</f>
        <v>#N/A</v>
      </c>
      <c r="D5" s="9">
        <f>Specified_Solver!R7</f>
        <v>1</v>
      </c>
      <c r="E5" s="3" t="s">
        <v>4</v>
      </c>
      <c r="F5" s="17" t="e">
        <f>IF(C5=1,B5+D5,IF(C5=2,B5-D5,IF(C5=3,B5*D5,IF(C5=4,B5/D5,"ERR"))))</f>
        <v>#N/A</v>
      </c>
      <c r="G5" s="10" t="e">
        <f>VLOOKUP(Specified_Solver!E5,Random_Generator!$C$3:$D$6,2,FALSE)</f>
        <v>#N/A</v>
      </c>
      <c r="H5" s="9">
        <f>Specified_Solver!R8</f>
        <v>1</v>
      </c>
      <c r="I5" s="3" t="s">
        <v>4</v>
      </c>
      <c r="J5" s="16" t="e">
        <f>IF(G5=1,F5+H5,IF(G5=2,F5-H5,IF(G5=3,F5*H5,IF(G5=4,F5/H5,"ERR"))))</f>
        <v>#N/A</v>
      </c>
    </row>
    <row r="6" spans="2:10" s="8" customFormat="1" ht="40.5" customHeight="1" x14ac:dyDescent="0.25">
      <c r="B6" s="3" t="s">
        <v>4</v>
      </c>
      <c r="C6" s="5"/>
      <c r="D6" s="3" t="s">
        <v>4</v>
      </c>
      <c r="E6" s="5"/>
      <c r="F6" s="5"/>
      <c r="G6" s="5"/>
      <c r="H6" s="3" t="s">
        <v>4</v>
      </c>
      <c r="I6" s="5"/>
      <c r="J6" s="4"/>
    </row>
    <row r="7" spans="2:10" s="8" customFormat="1" ht="40.5" customHeight="1" x14ac:dyDescent="0.25">
      <c r="B7" s="17" t="e">
        <f>IF(B4=1,B3+B5,IF(B4=2,B3-B5,IF(B4=3,B3*B5,IF(B4=4,B3/B5,"ERR"))))</f>
        <v>#N/A</v>
      </c>
      <c r="C7" s="5"/>
      <c r="D7" s="17" t="e">
        <f>IF(D4=1,D3+D5,IF(D4=2,D3-D5,IF(D4=3,D3*D5,IF(D4=4,D3/D5,"ERR"))))</f>
        <v>#N/A</v>
      </c>
      <c r="E7" s="5"/>
      <c r="F7" s="5"/>
      <c r="G7" s="5"/>
      <c r="H7" s="17" t="e">
        <f>IF(H4=1,H3+H5,IF(H4=2,H3-H5,IF(H4=3,H3*H5,IF(H4=4,H3/H5,"ERR"))))</f>
        <v>#N/A</v>
      </c>
      <c r="I7" s="5"/>
      <c r="J7" s="4"/>
    </row>
    <row r="8" spans="2:10" s="8" customFormat="1" ht="40.5" customHeight="1" x14ac:dyDescent="0.25">
      <c r="B8" s="10" t="e">
        <f>VLOOKUP(Specified_Solver!B6,Random_Generator!$C$3:$D$6,2,FALSE)</f>
        <v>#N/A</v>
      </c>
      <c r="C8" s="5"/>
      <c r="D8" s="10" t="e">
        <f>VLOOKUP(Specified_Solver!D6,Random_Generator!$C$3:$D$6,2,FALSE)</f>
        <v>#N/A</v>
      </c>
      <c r="E8" s="5"/>
      <c r="F8" s="5"/>
      <c r="G8" s="5"/>
      <c r="H8" s="10" t="e">
        <f>VLOOKUP(Specified_Solver!F6,Random_Generator!$C$3:$D$6,2,FALSE)</f>
        <v>#N/A</v>
      </c>
      <c r="I8" s="5"/>
      <c r="J8" s="4"/>
    </row>
    <row r="9" spans="2:10" s="8" customFormat="1" ht="40.5" customHeight="1" x14ac:dyDescent="0.25">
      <c r="B9" s="9">
        <f>Specified_Solver!R9</f>
        <v>1</v>
      </c>
      <c r="C9" s="10" t="e">
        <f>VLOOKUP(Specified_Solver!C7,Random_Generator!$C$3:$D$6,2,FALSE)</f>
        <v>#N/A</v>
      </c>
      <c r="D9" s="9">
        <f>Specified_Solver!R10</f>
        <v>1</v>
      </c>
      <c r="E9" s="3" t="s">
        <v>4</v>
      </c>
      <c r="F9" s="17" t="e">
        <f>IF(C9=1,B9+D9,IF(C9=2,B9-D9,IF(C9=3,B9*D9,IF(C9=4,B9/D9,"ERR"))))</f>
        <v>#N/A</v>
      </c>
      <c r="G9" s="10" t="e">
        <f>VLOOKUP(Specified_Solver!E7,Random_Generator!$C$3:$D$6,2,FALSE)</f>
        <v>#N/A</v>
      </c>
      <c r="H9" s="9">
        <f>Specified_Solver!R11</f>
        <v>1</v>
      </c>
      <c r="I9" s="3" t="s">
        <v>4</v>
      </c>
      <c r="J9" s="16" t="e">
        <f>IF(G9=1,F9+H9,IF(G9=2,F9-H9,IF(G9=3,F9*H9,IF(G9=4,F9/H9,"ERR"))))</f>
        <v>#N/A</v>
      </c>
    </row>
    <row r="10" spans="2:10" s="8" customFormat="1" ht="40.5" customHeight="1" x14ac:dyDescent="0.25">
      <c r="B10" s="3" t="s">
        <v>4</v>
      </c>
      <c r="C10" s="5"/>
      <c r="D10" s="3" t="s">
        <v>4</v>
      </c>
      <c r="E10" s="5"/>
      <c r="F10" s="5"/>
      <c r="G10" s="5"/>
      <c r="H10" s="3" t="s">
        <v>4</v>
      </c>
      <c r="I10" s="5"/>
      <c r="J10" s="5"/>
    </row>
    <row r="11" spans="2:10" s="8" customFormat="1" ht="40.5" customHeight="1" x14ac:dyDescent="0.25">
      <c r="B11" s="16" t="e">
        <f>IF(B8=1,B7+B9,IF(B8=2,B7-B9,IF(B8=3,B7*B9,IF(B8=4,B7/B9,"ERR"))))</f>
        <v>#N/A</v>
      </c>
      <c r="C11" s="4"/>
      <c r="D11" s="16" t="e">
        <f>IF(D8=1,D7+D9,IF(D8=2,D7-D9,IF(D8=3,D7*D9,IF(D8=4,D7/D9,"ERR"))))</f>
        <v>#N/A</v>
      </c>
      <c r="E11" s="4"/>
      <c r="F11" s="4"/>
      <c r="G11" s="4"/>
      <c r="H11" s="16" t="e">
        <f>IF(H8=1,H7+H9,IF(H8=2,H7-H9,IF(H8=3,H7*H9,IF(H8=4,H7/H9,"ERR"))))</f>
        <v>#N/A</v>
      </c>
      <c r="I11" s="5"/>
      <c r="J11" s="5"/>
    </row>
    <row r="17" spans="4:4" ht="40.5" customHeight="1" x14ac:dyDescent="0.25">
      <c r="D17" s="1">
        <v>1</v>
      </c>
    </row>
  </sheetData>
  <mergeCells count="1">
    <mergeCell ref="B2:J2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Random_Generator</vt:lpstr>
      <vt:lpstr>Specified_Solver</vt:lpstr>
      <vt:lpstr>Maths_for_Solver</vt:lpstr>
    </vt:vector>
  </TitlesOfParts>
  <Company>United States Army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Ross, Aaron C Mr. CIV USARMY TRADOC</dc:creator>
  <cp:lastModifiedBy>Chandler Ross</cp:lastModifiedBy>
  <dcterms:created xsi:type="dcterms:W3CDTF">2019-04-22T14:19:25Z</dcterms:created>
  <dcterms:modified xsi:type="dcterms:W3CDTF">2019-04-28T17:52:39Z</dcterms:modified>
</cp:coreProperties>
</file>